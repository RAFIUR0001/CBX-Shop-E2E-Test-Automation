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9ce3f6d6654046" /></Relationships>
</file>

<file path=xl/workbook.xml><?xml version="1.0" encoding="utf-8"?>
<x:workbook xmlns:x="http://schemas.openxmlformats.org/spreadsheetml/2006/main">
  <x:sheets>
    <x:sheet xmlns:r="http://schemas.openxmlformats.org/officeDocument/2006/relationships" name="Bug Report" sheetId="1" r:id="Re67f340e126e450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8"/>
      <x:color rgb="FFFFFFFF"/>
      <x:name val="Carlito"/>
    </x:font>
    <x:font>
      <x:b/>
      <x:sz val="11"/>
      <x:color rgb="FF17365D"/>
      <x:name val="Carlito"/>
    </x:font>
    <x:font>
      <x:b/>
      <x:sz val="11"/>
      <x:color rgb="FF9C0006"/>
      <x:name val="Carlito"/>
    </x:font>
    <x:font>
      <x:b/>
      <x:sz val="11"/>
      <x:color rgb="FF9C6500"/>
      <x:name val="Carlito"/>
    </x:font>
    <x:font>
      <x:b/>
      <x:sz val="11"/>
      <x:color rgb="FFFFFFFF"/>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CE4D6"/>
      </x:patternFill>
    </x:fill>
    <x:fill>
      <x:patternFill patternType="solid">
        <x:fgColor rgb="FFFFF2CC"/>
      </x:patternFill>
    </x:fill>
    <x:fill>
      <x:patternFill patternType="solid">
        <x:fgColor rgb="FF4472C4"/>
      </x:patternFill>
    </x:fill>
    <x:fill>
      <x:patternFill patternType="solid">
        <x:fgColor rgb="FFF2F6FC"/>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cellXfs>
  <x:cellStyles count="1">
    <x:cellStyle name="Normal" xfId="0"/>
  </x:cellStyles>
  <x:dxfs count="3">
    <x:dxf>
      <x:font>
        <x:b/>
        <x:color rgb="FF9C0006"/>
      </x:font>
      <x:fill>
        <x:patternFill patternType="solid">
          <x:bgColor rgb="FFF4CCCC"/>
        </x:patternFill>
      </x:fill>
    </x:dxf>
    <x:dxf>
      <x:font>
        <x:b/>
        <x:color rgb="FF9C6500"/>
      </x:font>
      <x:fill>
        <x:patternFill patternType="solid">
          <x:bgColor rgb="FFFFF2CC"/>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37deb9366e4555" /><Relationship Type="http://schemas.openxmlformats.org/officeDocument/2006/relationships/theme" Target="/xl/theme/theme1.xml" Id="Ra6f84d8ba1334bcb" /><Relationship Type="http://schemas.openxmlformats.org/officeDocument/2006/relationships/sharedStrings" Target="/xl/sharedStrings.xml" Id="R817fd8a4494a4529" /><Relationship Type="http://schemas.openxmlformats.org/officeDocument/2006/relationships/worksheet" Target="/xl/worksheets/sheet1.xml" Id="Re67f340e126e450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31" hidden="0" customWidth="1"/>
    <x:col min="4" max="4" width="18" hidden="0" customWidth="1"/>
    <x:col min="5" max="5" width="38" hidden="0" customWidth="1"/>
    <x:col min="6" max="6" width="48" hidden="0" customWidth="1"/>
    <x:col min="7" max="7" width="24" hidden="0" customWidth="1"/>
    <x:col min="8" max="8" width="42" hidden="0" customWidth="1"/>
    <x:col min="9" max="9" width="42" hidden="0" customWidth="1"/>
    <x:col min="10" max="10" width="12" hidden="0" customWidth="1"/>
    <x:col min="11" max="11" width="12" hidden="0" customWidth="1"/>
    <x:col min="12" max="12" width="19" hidden="0" customWidth="1"/>
    <x:col min="13" max="13" width="12" hidden="0" customWidth="1"/>
    <x:col min="14" max="14" width="42" hidden="0" customWidth="1"/>
  </x:cols>
  <x:sheetData>
    <x:row r="1" ht="34" customHeight="1">
      <x:c r="A1" s="4" t="str">
        <x:v>CBX SHOP — BUG REPORT</x:v>
      </x:c>
      <x:c r="B1" s="4"/>
      <x:c r="C1" s="4"/>
      <x:c r="D1" s="4"/>
      <x:c r="E1" s="4"/>
      <x:c r="F1" s="4"/>
      <x:c r="G1" s="4"/>
      <x:c r="H1" s="4"/>
      <x:c r="I1" s="4"/>
      <x:c r="J1" s="4"/>
      <x:c r="K1" s="4"/>
      <x:c r="L1" s="4"/>
      <x:c r="M1" s="4"/>
      <x:c r="N1" s="4"/>
    </x:row>
    <x:row r="2">
      <x:c r="A2" s="6" t="str">
        <x:v>Application</x:v>
      </x:c>
      <x:c r="B2" t="str">
        <x:v>CBX Shop</x:v>
      </x:c>
      <x:c r="D2" s="9" t="str">
        <x:v>Total Failed Cases</x:v>
      </x:c>
      <x:c r="E2" s="12" t="n">
        <x:f>COUNTA(A8:A13)</x:f>
        <x:v>6</x:v>
      </x:c>
    </x:row>
    <x:row r="3">
      <x:c r="A3" s="6" t="str">
        <x:v>Feature</x:v>
      </x:c>
      <x:c r="B3" t="str">
        <x:v>Add to Cart and Checkout</x:v>
      </x:c>
      <x:c r="D3" s="9" t="str">
        <x:v>High Severity</x:v>
      </x:c>
      <x:c r="E3" s="12" t="n">
        <x:f>COUNTIF(J8:J13,"High")</x:f>
        <x:v>3</x:v>
      </x:c>
    </x:row>
    <x:row r="4">
      <x:c r="A4" s="6" t="str">
        <x:v>Source</x:v>
      </x:c>
      <x:c r="B4" t="str">
        <x:v>Uploaded Test Case Workbook</x:v>
      </x:c>
      <x:c r="D4" s="9" t="str">
        <x:v>Medium Severity</x:v>
      </x:c>
      <x:c r="E4" s="12" t="n">
        <x:f>COUNTIF(J8:J13,"Medium")</x:f>
        <x:v>3</x:v>
      </x:c>
    </x:row>
    <x:row r="5">
      <x:c r="A5" s="6" t="str">
        <x:v>Report Date</x:v>
      </x:c>
      <x:c r="B5" s="7" t="n">
        <x:v>46248</x:v>
      </x:c>
      <x:c r="D5" s="9" t="str">
        <x:v>Open Defects</x:v>
      </x:c>
      <x:c r="E5" s="12" t="n">
        <x:f>COUNTIF(M8:M13,"Open")</x:f>
        <x:v>6</x:v>
      </x:c>
    </x:row>
    <x:row r="7" ht="30" customHeight="1">
      <x:c r="A7" s="18" t="str">
        <x:v>Bug ID</x:v>
      </x:c>
      <x:c r="B7" s="18" t="str">
        <x:v>Test Case ID</x:v>
      </x:c>
      <x:c r="C7" s="18" t="str">
        <x:v>Bug Title</x:v>
      </x:c>
      <x:c r="D7" s="18" t="str">
        <x:v>Module</x:v>
      </x:c>
      <x:c r="E7" s="18" t="str">
        <x:v>Description</x:v>
      </x:c>
      <x:c r="F7" s="18" t="str">
        <x:v>Steps to Reproduce</x:v>
      </x:c>
      <x:c r="G7" s="18" t="str">
        <x:v>Test Data</x:v>
      </x:c>
      <x:c r="H7" s="18" t="str">
        <x:v>Expected Result</x:v>
      </x:c>
      <x:c r="I7" s="18" t="str">
        <x:v>Actual Result</x:v>
      </x:c>
      <x:c r="J7" s="18" t="str">
        <x:v>Severity</x:v>
      </x:c>
      <x:c r="K7" s="18" t="str">
        <x:v>Priority</x:v>
      </x:c>
      <x:c r="L7" s="18" t="str">
        <x:v>Root Classification</x:v>
      </x:c>
      <x:c r="M7" s="18" t="str">
        <x:v>Status</x:v>
      </x:c>
      <x:c r="N7" s="18" t="str">
        <x:v>Recommendation</x:v>
      </x:c>
    </x:row>
    <x:row r="8" ht="92" customHeight="1">
      <x:c r="A8" s="22" t="str">
        <x:v>BUG_001</x:v>
      </x:c>
      <x:c r="B8" s="22" t="str">
        <x:v>TC_015</x:v>
      </x:c>
      <x:c r="C8" s="22" t="str">
        <x:v>Invalid phone number accepted during checkout</x:v>
      </x:c>
      <x:c r="D8" s="22" t="str">
        <x:v>Checkout</x:v>
      </x:c>
      <x:c r="E8" s="21" t="str">
        <x:v>The checkout form accepts an incomplete phone number and allows the order to proceed.</x:v>
      </x:c>
      <x:c r="F8" s="21" t="str">
        <x:v>1. Add a product to the cart.
2. Open the cart and proceed to checkout.
3. Enter valid details in other required fields.
4. Enter 12345 in the phone field.
5. Click Place Order.</x:v>
      </x:c>
      <x:c r="G8" s="21" t="str">
        <x:v>Phone: 12345</x:v>
      </x:c>
      <x:c r="H8" s="21" t="str">
        <x:v>The order should not be placed, and a phone-number validation message should appear.</x:v>
      </x:c>
      <x:c r="I8" s="21" t="str">
        <x:v>The invalid phone number was accepted, and the order proceeded without a validation message.</x:v>
      </x:c>
      <x:c r="J8" s="23" t="str">
        <x:v>High</x:v>
      </x:c>
      <x:c r="K8" s="23" t="str">
        <x:v>High</x:v>
      </x:c>
      <x:c r="L8" s="23" t="str">
        <x:v>Defect</x:v>
      </x:c>
      <x:c r="M8" s="23" t="str">
        <x:v>Open</x:v>
      </x:c>
      <x:c r="N8" s="21" t="str">
        <x:v>Apply client-side and server-side validation for valid Bangladeshi mobile-number format.</x:v>
      </x:c>
    </x:row>
    <x:row r="9" ht="92" customHeight="1">
      <x:c r="A9" s="22" t="str">
        <x:v>BUG_002</x:v>
      </x:c>
      <x:c r="B9" s="22" t="str">
        <x:v>TC_NF_001</x:v>
      </x:c>
      <x:c r="C9" s="22" t="str">
        <x:v>Homepage loading exceeds acceptable time</x:v>
      </x:c>
      <x:c r="D9" s="22" t="str">
        <x:v>Homepage</x:v>
      </x:c>
      <x:c r="E9" s="21" t="str">
        <x:v>The homepage took more than 30 seconds to complete loading during test execution.</x:v>
      </x:c>
      <x:c r="F9" s="21" t="str">
        <x:v>1. Open Chrome with a stable connection.
2. Navigate to https://cbxshop.com/.
3. Measure the page-loading time.</x:v>
      </x:c>
      <x:c r="G9" s="21" t="str">
        <x:v>CBX Shop homepage</x:v>
      </x:c>
      <x:c r="H9" s="21" t="str">
        <x:v>The homepage should become usable within 3–5 seconds.</x:v>
      </x:c>
      <x:c r="I9" s="21" t="str">
        <x:v>The homepage took more than 30 seconds to complete loading.</x:v>
      </x:c>
      <x:c r="J9" s="23" t="str">
        <x:v>High</x:v>
      </x:c>
      <x:c r="K9" s="23" t="str">
        <x:v>High</x:v>
      </x:c>
      <x:c r="L9" s="23" t="str">
        <x:v>Defect</x:v>
      </x:c>
      <x:c r="M9" s="23" t="str">
        <x:v>Open</x:v>
      </x:c>
      <x:c r="N9" s="21" t="str">
        <x:v>Compress images, lazy-load media, minimize scripts, enable caching and optimize server response.</x:v>
      </x:c>
    </x:row>
    <x:row r="10" ht="92" customHeight="1">
      <x:c r="A10" s="22" t="str">
        <x:v>BUG_003</x:v>
      </x:c>
      <x:c r="B10" s="22" t="str">
        <x:v>TC_NF_002</x:v>
      </x:c>
      <x:c r="C10" s="22" t="str">
        <x:v>Product page loading performance is slow</x:v>
      </x:c>
      <x:c r="D10" s="22" t="str">
        <x:v>Product Details</x:v>
      </x:c>
      <x:c r="E10" s="21" t="str">
        <x:v>The selected Anker product page was slow and required extended timeout settings.</x:v>
      </x:c>
      <x:c r="F10" s="21" t="str">
        <x:v>1. Open the homepage.
2. Select Anker Nano 45W GaN Charger.
3. Measure time until the product page becomes usable.</x:v>
      </x:c>
      <x:c r="G10" s="21" t="str">
        <x:v>Anker Nano 45W GaN Charger</x:v>
      </x:c>
      <x:c r="H10" s="21" t="str">
        <x:v>The product page should become usable within 3–5 seconds.</x:v>
      </x:c>
      <x:c r="I10" s="21" t="str">
        <x:v>Product-page navigation was slow and required extended Playwright timeout settings.</x:v>
      </x:c>
      <x:c r="J10" s="23" t="str">
        <x:v>Medium</x:v>
      </x:c>
      <x:c r="K10" s="23" t="str">
        <x:v>High</x:v>
      </x:c>
      <x:c r="L10" s="23" t="str">
        <x:v>Defect</x:v>
      </x:c>
      <x:c r="M10" s="23" t="str">
        <x:v>Open</x:v>
      </x:c>
      <x:c r="N10" s="21" t="str">
        <x:v>Optimize product images, scripts, plugins, caching and server/database response time.</x:v>
      </x:c>
    </x:row>
    <x:row r="11" ht="92" customHeight="1">
      <x:c r="A11" s="22" t="str">
        <x:v>BUG_004</x:v>
      </x:c>
      <x:c r="B11" s="22" t="str">
        <x:v>TC_NF_003</x:v>
      </x:c>
      <x:c r="C11" s="22" t="str">
        <x:v>Cart page response time exceeds limit</x:v>
      </x:c>
      <x:c r="D11" s="22" t="str">
        <x:v>Shopping Cart</x:v>
      </x:c>
      <x:c r="E11" s="21" t="str">
        <x:v>The cart page did not consistently become usable within the expected response time.</x:v>
      </x:c>
      <x:c r="F11" s="21" t="str">
        <x:v>1. Add a product to the cart.
2. Click View Cart.
3. Measure the cart-page loading time.</x:v>
      </x:c>
      <x:c r="G11" s="21" t="str">
        <x:v>Product quantity: 1</x:v>
      </x:c>
      <x:c r="H11" s="21" t="str">
        <x:v>The cart page should appear within 3 seconds.</x:v>
      </x:c>
      <x:c r="I11" s="21" t="str">
        <x:v>The cart page did not consistently load within the expected 3-second limit.</x:v>
      </x:c>
      <x:c r="J11" s="23" t="str">
        <x:v>Medium</x:v>
      </x:c>
      <x:c r="K11" s="23" t="str">
        <x:v>High</x:v>
      </x:c>
      <x:c r="L11" s="23" t="str">
        <x:v>Defect</x:v>
      </x:c>
      <x:c r="M11" s="23" t="str">
        <x:v>Open</x:v>
      </x:c>
      <x:c r="N11" s="21" t="str">
        <x:v>Optimize cart requests, database queries, AJAX processing and unnecessary page resources.</x:v>
      </x:c>
    </x:row>
    <x:row r="12" ht="92" customHeight="1">
      <x:c r="A12" s="22" t="str">
        <x:v>BUG_005</x:v>
      </x:c>
      <x:c r="B12" s="22" t="str">
        <x:v>TC_NF_004</x:v>
      </x:c>
      <x:c r="C12" s="22" t="str">
        <x:v>Cross-browser performance is inconsistent</x:v>
      </x:c>
      <x:c r="D12" s="22" t="str">
        <x:v>Add to Cart</x:v>
      </x:c>
      <x:c r="E12" s="21" t="str">
        <x:v>The Add to Cart flow showed slow navigation and timeout risk during cross-browser execution.</x:v>
      </x:c>
      <x:c r="F12" s="21" t="str">
        <x:v>1. Run the Add to Cart test in Chromium.
2. Run it in Firefox.
3. Run it in WebKit.
4. Compare execution time and timeout results.</x:v>
      </x:c>
      <x:c r="G12" s="21" t="str">
        <x:v>Chromium, Firefox and WebKit</x:v>
      </x:c>
      <x:c r="H12" s="21" t="str">
        <x:v>The feature should complete successfully on all supported browsers without timeout.</x:v>
      </x:c>
      <x:c r="I12" s="21" t="str">
        <x:v>Tests experienced slow navigation and timeout risk, especially with the default 30-second timeout.</x:v>
      </x:c>
      <x:c r="J12" s="23" t="str">
        <x:v>Medium</x:v>
      </x:c>
      <x:c r="K12" s="23" t="str">
        <x:v>High</x:v>
      </x:c>
      <x:c r="L12" s="23" t="str">
        <x:v>Defect</x:v>
      </x:c>
      <x:c r="M12" s="23" t="str">
        <x:v>Open</x:v>
      </x:c>
      <x:c r="N12" s="21" t="str">
        <x:v>Optimize common frontend resources and resolve browser-specific console or network issues.</x:v>
      </x:c>
    </x:row>
    <x:row r="13" ht="92" customHeight="1">
      <x:c r="A13" s="22" t="str">
        <x:v>BUG_006</x:v>
      </x:c>
      <x:c r="B13" s="22" t="str">
        <x:v>TC_NF_005</x:v>
      </x:c>
      <x:c r="C13" s="22" t="str">
        <x:v>Checkout validation reliability failure</x:v>
      </x:c>
      <x:c r="D13" s="22" t="str">
        <x:v>Checkout</x:v>
      </x:c>
      <x:c r="E13" s="21" t="str">
        <x:v>The checkout form accepted an invalid phone number and allowed the order to reach confirmation.</x:v>
      </x:c>
      <x:c r="F13" s="21" t="str">
        <x:v>1. Add a product and proceed to checkout.
2. Enter a valid name and address.
3. Enter 919238 in the phone field.
4. Click Place Order.</x:v>
      </x:c>
      <x:c r="G13" s="21" t="str">
        <x:v>Phone: 919238</x:v>
      </x:c>
      <x:c r="H13" s="21" t="str">
        <x:v>The system should reject invalid phone numbers before processing the order.</x:v>
      </x:c>
      <x:c r="I13" s="21" t="str">
        <x:v>The invalid phone number was accepted, and the order reached the confirmation page.</x:v>
      </x:c>
      <x:c r="J13" s="23" t="str">
        <x:v>High</x:v>
      </x:c>
      <x:c r="K13" s="23" t="str">
        <x:v>High</x:v>
      </x:c>
      <x:c r="L13" s="23" t="str">
        <x:v>Defect</x:v>
      </x:c>
      <x:c r="M13" s="23" t="str">
        <x:v>Open</x:v>
      </x:c>
      <x:c r="N13" s="21" t="str">
        <x:v>Enforce phone length and format validation on both client and server before order creation.</x:v>
      </x:c>
    </x:row>
  </x:sheetData>
  <x:mergeCells>
    <x:mergeCell ref="A1:N1"/>
  </x:mergeCells>
  <x:conditionalFormatting sqref="J8:J13">
    <x:cfRule type="containsText" dxfId="0" priority="1" operator="containsText" text="High"/>
    <x:cfRule type="containsText" dxfId="1" priority="2" operator="containsText" text="Medium"/>
  </x:conditionalFormatting>
  <x:conditionalFormatting sqref="M8:M13">
    <x:cfRule type="containsText" dxfId="2" priority="3" operator="containsText" text="Open"/>
  </x:conditionalFormatting>
  <x:pageMargins left="0.7" right="0.7" top="0.75" bottom="0.75" header="0.3" footer="0.3"/>
</x:worksheet>
</file>